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m\Documents\projects\hardware\whitefox\BOM\"/>
    </mc:Choice>
  </mc:AlternateContent>
  <xr:revisionPtr revIDLastSave="0" documentId="13_ncr:1_{34DB02FE-62CF-4657-BE77-B4A280639AFC}" xr6:coauthVersionLast="47" xr6:coauthVersionMax="47" xr10:uidLastSave="{00000000-0000-0000-0000-000000000000}"/>
  <bookViews>
    <workbookView xWindow="-120" yWindow="-120" windowWidth="29040" windowHeight="16440" xr2:uid="{9956B0D0-50DD-4C42-A951-1C848689E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E34" i="1" s="1"/>
  <c r="E25" i="1"/>
</calcChain>
</file>

<file path=xl/sharedStrings.xml><?xml version="1.0" encoding="utf-8"?>
<sst xmlns="http://schemas.openxmlformats.org/spreadsheetml/2006/main" count="134" uniqueCount="133">
  <si>
    <t>Name</t>
  </si>
  <si>
    <t>Description</t>
  </si>
  <si>
    <t>Quantity</t>
  </si>
  <si>
    <t>Link</t>
  </si>
  <si>
    <t>Cost (USD)</t>
  </si>
  <si>
    <t>RP2350B</t>
  </si>
  <si>
    <t>JLCPCB Part #</t>
  </si>
  <si>
    <t>C42415655</t>
  </si>
  <si>
    <t>https://jlcpcb.com/partdetail/RaspberryPi-RP2350B/C42415655</t>
  </si>
  <si>
    <t>QFN-80-EP Microcontrollers (MCU/MPU/SOC) ROHS</t>
  </si>
  <si>
    <t>W25Q128JVSIQ</t>
  </si>
  <si>
    <t>C97521</t>
  </si>
  <si>
    <t>https://jlcpcb.com/partdetail/WinbondElec-W25Q128JVSIQ/C97521</t>
  </si>
  <si>
    <t>https://jlcpcb.com/partdetail/Advanced_MonolithicSystems-AMS1117_33/C6186</t>
  </si>
  <si>
    <t>C6186</t>
  </si>
  <si>
    <t>AMS1117-3.3</t>
  </si>
  <si>
    <t>128Mbit 133MHz SPI SOIC-8-208mil NOR FLASH ROHS</t>
  </si>
  <si>
    <t>Notes</t>
  </si>
  <si>
    <t>TP4056-42-ESOP8</t>
  </si>
  <si>
    <t>https://jlcpcb.com/partdetail/17264-TP4056_42ESOP8/C16581</t>
  </si>
  <si>
    <t>C16581</t>
  </si>
  <si>
    <t>Charging IC Lithium Battery Support ESOP-8 Battery Management ROHS</t>
  </si>
  <si>
    <t>Crystal</t>
  </si>
  <si>
    <t>https://jlcpcb.com/partdetail/XUNPU-TS_1088AR02016/C720477</t>
  </si>
  <si>
    <t>C720477</t>
  </si>
  <si>
    <t>12V 2mm 3mm 4mm 50mA Black Round Button SMD(SMT) Tactile Switches ROHS</t>
  </si>
  <si>
    <t>TS-1088-AR02016</t>
  </si>
  <si>
    <t>C165948</t>
  </si>
  <si>
    <t>TYPE-C-31-M-12</t>
  </si>
  <si>
    <t>Right Angle Type-C SMD USB Connectors ROHS</t>
  </si>
  <si>
    <t>https://jlcpcb.com/partdetail/Korean_HropartsElec-TYPE_C_31_M12/C165948</t>
  </si>
  <si>
    <t>USB-C Receptacle</t>
  </si>
  <si>
    <t>Mosfet</t>
  </si>
  <si>
    <t>AOTA-B201610S3R3-101-T</t>
  </si>
  <si>
    <t>0806 Power Inductors ROHS</t>
  </si>
  <si>
    <t>C42411119</t>
  </si>
  <si>
    <t>https://jlcpcb.com/partdetail/AbraconLLC-AOTA_B201610S3R3_101T/C42411119</t>
  </si>
  <si>
    <t>https://jlcpcb.com/partdetail/GuangdongHottech-1N5819WS/C191023</t>
  </si>
  <si>
    <t>1N5819WS</t>
  </si>
  <si>
    <t>SOD-323 Schottky Diodes ROHS</t>
  </si>
  <si>
    <t>C191023</t>
  </si>
  <si>
    <t>CL05B104KO5NNNC</t>
  </si>
  <si>
    <t>100nF</t>
  </si>
  <si>
    <t>https://jlcpcb.com/partdetail/1877-CL05B104KO5NNNC/C1525</t>
  </si>
  <si>
    <t>C1525</t>
  </si>
  <si>
    <t>100nF 16V X7R ±10% 0402 Multilayer Ceramic Capacitors MLCC - SMD/SMT ROHS</t>
  </si>
  <si>
    <t>https://jlcpcb.com/partdetail/24469-CL05A475MP5NRNC/C23733</t>
  </si>
  <si>
    <t>4.7uF</t>
  </si>
  <si>
    <t>10V 4.7uF X5R ±20% 0402 Multilayer Ceramic Capacitors MLCC - SMD/SMT ROHS</t>
  </si>
  <si>
    <t>CL05A475MP5NRNC</t>
  </si>
  <si>
    <t>C23733</t>
  </si>
  <si>
    <t>10uF</t>
  </si>
  <si>
    <t>10uF 6.3V X5R ±20% 0402 Multilayer Ceramic Capacitors MLCC - SMD/SMT ROHS</t>
  </si>
  <si>
    <t>https://jlcpcb.com/partdetail/16204-CL05A106MQ5NUNC/C15525</t>
  </si>
  <si>
    <t>C15525</t>
  </si>
  <si>
    <t>0402WGF1001TCE</t>
  </si>
  <si>
    <t>https://jlcpcb.com/partdetail/12256-0402WGF1001TCE/C11702</t>
  </si>
  <si>
    <t>C11702</t>
  </si>
  <si>
    <t>1kΩ 50V 62.5mW Thick Film Resistor ±1% ±100ppm/℃ 0402 Chip Resistor - Surface Mount ROHS</t>
  </si>
  <si>
    <t>1k ohm</t>
  </si>
  <si>
    <t>33 ohm</t>
  </si>
  <si>
    <t>3.3uH</t>
  </si>
  <si>
    <t>https://jlcpcb.com/partdetail/25848-0402WGF330JTCE/C25105</t>
  </si>
  <si>
    <t>C25105</t>
  </si>
  <si>
    <t>33Ω 50V 62.5mW Thick Film Resistor ±1% ±100ppm/℃ 0402 Chip Resistor - Surface Mount ROHS</t>
  </si>
  <si>
    <t>0402WGF330JTCE</t>
  </si>
  <si>
    <t>0402WGF270JTCE</t>
  </si>
  <si>
    <t>27Ω 50V 62.5mW Thick Film Resistor ±1% ±100ppm/℃ 0402 Chip Resistor - Surface Mount ROHS</t>
  </si>
  <si>
    <t>C25100</t>
  </si>
  <si>
    <t>https://jlcpcb.com/partdetail/25843-0402WGF270JTCE/C25100</t>
  </si>
  <si>
    <t>27 ohm</t>
  </si>
  <si>
    <t>0402WGF1002TCE</t>
  </si>
  <si>
    <t>10kΩ 50V 62.5mW Thick Film Resistor ±1% ±100ppm/℃ 0402 Chip Resistor - Surface Mount ROHS</t>
  </si>
  <si>
    <t>C25744</t>
  </si>
  <si>
    <t>https://jlcpcb.com/partdetail/26487-0402WGF1002TCE/C25744</t>
  </si>
  <si>
    <t>10k ohm</t>
  </si>
  <si>
    <t>https://jlcpcb.com/partdetail/26648-0402WGF5101TCE/C25905</t>
  </si>
  <si>
    <t>C25905</t>
  </si>
  <si>
    <t>5.1kΩ 50V 62.5mW Thick Film Resistor ±1% ±100ppm/℃ 0402 Chip Resistor - Surface Mount ROHS</t>
  </si>
  <si>
    <t>0402WGF5101TCE</t>
  </si>
  <si>
    <t>15V 1A 3.3V 5mA 72dB@(120Hz) Fixed Positive SOT-223 Voltage Regulators - Linear, Low Drop Out (LDO) Regulators ROHS</t>
  </si>
  <si>
    <t>KT-0603R</t>
  </si>
  <si>
    <t>C2286</t>
  </si>
  <si>
    <t>1.8V~2.4V 120° 20mA 300mcd 40mW 615nm~630nm 645nm Discrete Diode Red Water Clear 0603 LED Indication - Discrete ROHS</t>
  </si>
  <si>
    <t>https://jlcpcb.com/partdetail/Hubei_KENTOElec-KT0603R/C2286</t>
  </si>
  <si>
    <t>Red LED</t>
  </si>
  <si>
    <t>1 P-Channel 14nC@10V 30V 47mΩ@10V、60mΩ@4.5V、85mΩ@2.5V 4A 55pF 645pF 80pF 900mV SOT-23 MOSFETs ROHS</t>
  </si>
  <si>
    <t>AO3401A</t>
  </si>
  <si>
    <t>C15127</t>
  </si>
  <si>
    <t>https://jlcpcb.com/partdetail/Alpha_OmegaSemicon-AO3401A/C15127</t>
  </si>
  <si>
    <t>33pF</t>
  </si>
  <si>
    <t>https://jlcpcb.com/partdetail/1914-0402CG330J500NT/C1562</t>
  </si>
  <si>
    <t>C1562</t>
  </si>
  <si>
    <t>33pF 50V C0G ±5% 0402 Multilayer Ceramic Capacitors MLCC - SMD/SMT ROHS</t>
  </si>
  <si>
    <t>0402CG330J500NT</t>
  </si>
  <si>
    <t>X322512MSB4SI</t>
  </si>
  <si>
    <t>-40℃~+85℃ 12MHz 20pF Crystal Oscillator ±10ppm ±20ppm SMD3225-4P Crystals ROHS</t>
  </si>
  <si>
    <t>C9002</t>
  </si>
  <si>
    <t>https://jlcpcb.com/partdetail/YXC_CrystalOscillators-X322512MSB4SI/C9002</t>
  </si>
  <si>
    <t>TF-01A</t>
  </si>
  <si>
    <t>1.85mm Connector and Ejector MicroSD Card (TF Card) Push-Push With Locating Pins SMD SD Card / Memory Card Connector ROHS</t>
  </si>
  <si>
    <t>C91145</t>
  </si>
  <si>
    <t>https://jlcpcb.com/partdetail/Korean_HropartsElec-TF01A/C91145</t>
  </si>
  <si>
    <t>MicroSD Push-Push</t>
  </si>
  <si>
    <t>S2B-PH-K-S(LF)(SN)</t>
  </si>
  <si>
    <t>2mm 4.8mm 5.9mm 7.6mm Brass K Pin PA66 PH Right Angle Tin UL94V-0 White P=2mm Wire To Board Connector ROHS</t>
  </si>
  <si>
    <t>C173752</t>
  </si>
  <si>
    <t>https://jlcpcb.com/partdetail/JST-S2B_PH_K_S_LF_SN/C173752</t>
  </si>
  <si>
    <t>5.1k ohm</t>
  </si>
  <si>
    <t>Battery Manager</t>
  </si>
  <si>
    <t>Voltage Regulator</t>
  </si>
  <si>
    <t>16M Flash QSPI</t>
  </si>
  <si>
    <t>Microcontroller</t>
  </si>
  <si>
    <t>Boot/Reset SW</t>
  </si>
  <si>
    <t>Diode</t>
  </si>
  <si>
    <t>JST Connector PH</t>
  </si>
  <si>
    <t>GRAND TOTAL</t>
  </si>
  <si>
    <t>PARTS TOTAL</t>
  </si>
  <si>
    <t>NeoPixel 2020</t>
  </si>
  <si>
    <t>WS2812C-2020-V1</t>
  </si>
  <si>
    <t>C2976072</t>
  </si>
  <si>
    <t>https://jlcpcb.com/partdetail/Worldsemi-WS2812C_2020V1/C2976072</t>
  </si>
  <si>
    <t>SMD, 2x2mm RGB LEDs(Built-in IC) ROHS</t>
  </si>
  <si>
    <t>JLCPCB PCB</t>
  </si>
  <si>
    <t>4-layer, 1.6mm, Black</t>
  </si>
  <si>
    <t>JLCPCB PCBA</t>
  </si>
  <si>
    <t>PCB Assembly (Including Parts)</t>
  </si>
  <si>
    <t>DISCOUNT</t>
  </si>
  <si>
    <t>SHIPPING</t>
  </si>
  <si>
    <t>HARDWARE TOTAL</t>
  </si>
  <si>
    <t>Baking Cost</t>
  </si>
  <si>
    <t>To be added</t>
  </si>
  <si>
    <t>For 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</si>
</sst>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95BE-69EC-4B8B-8D09-06F567DD0A37}">
  <dimension ref="A1:G34"/>
  <sheetViews>
    <sheetView tabSelected="1" workbookViewId="0">
      <selection activeCell="C15" sqref="C15"/>
    </sheetView>
  </sheetViews>
  <sheetFormatPr defaultRowHeight="15" x14ac:dyDescent="0.25"/>
  <cols>
    <col min="1" max="1" width="24.42578125" customWidth="1"/>
    <col min="2" max="2" width="18.28515625" customWidth="1"/>
    <col min="3" max="3" width="14.85546875" customWidth="1"/>
    <col min="4" max="4" width="16.7109375" customWidth="1"/>
    <col min="5" max="5" width="10.42578125" customWidth="1"/>
    <col min="6" max="6" width="34.5703125" customWidth="1"/>
    <col min="7" max="7" width="1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3</v>
      </c>
      <c r="G1" t="s">
        <v>17</v>
      </c>
    </row>
    <row r="2" spans="1:7" x14ac:dyDescent="0.25">
      <c r="A2" t="s">
        <v>5</v>
      </c>
      <c r="B2" t="s">
        <v>9</v>
      </c>
      <c r="C2">
        <v>1</v>
      </c>
      <c r="D2" t="s">
        <v>7</v>
      </c>
      <c r="E2">
        <v>1.26</v>
      </c>
      <c r="F2" t="s">
        <v>8</v>
      </c>
      <c r="G2" t="s">
        <v>112</v>
      </c>
    </row>
    <row r="3" spans="1:7" x14ac:dyDescent="0.25">
      <c r="A3" t="s">
        <v>10</v>
      </c>
      <c r="B3" t="s">
        <v>16</v>
      </c>
      <c r="C3">
        <v>1</v>
      </c>
      <c r="D3" t="s">
        <v>11</v>
      </c>
      <c r="E3">
        <v>1.89</v>
      </c>
      <c r="F3" t="s">
        <v>12</v>
      </c>
      <c r="G3" t="s">
        <v>111</v>
      </c>
    </row>
    <row r="4" spans="1:7" x14ac:dyDescent="0.25">
      <c r="A4" t="s">
        <v>15</v>
      </c>
      <c r="B4" t="s">
        <v>80</v>
      </c>
      <c r="C4">
        <v>2</v>
      </c>
      <c r="D4" t="s">
        <v>14</v>
      </c>
      <c r="E4">
        <v>0.42</v>
      </c>
      <c r="F4" t="s">
        <v>13</v>
      </c>
      <c r="G4" t="s">
        <v>110</v>
      </c>
    </row>
    <row r="5" spans="1:7" x14ac:dyDescent="0.25">
      <c r="A5" t="s">
        <v>18</v>
      </c>
      <c r="B5" t="s">
        <v>21</v>
      </c>
      <c r="C5">
        <v>1</v>
      </c>
      <c r="D5" t="s">
        <v>20</v>
      </c>
      <c r="E5">
        <v>0.18</v>
      </c>
      <c r="F5" t="s">
        <v>19</v>
      </c>
      <c r="G5" t="s">
        <v>109</v>
      </c>
    </row>
    <row r="6" spans="1:7" x14ac:dyDescent="0.25">
      <c r="A6" t="s">
        <v>99</v>
      </c>
      <c r="B6" t="s">
        <v>100</v>
      </c>
      <c r="C6">
        <v>1</v>
      </c>
      <c r="D6" t="s">
        <v>101</v>
      </c>
      <c r="E6">
        <v>0.19</v>
      </c>
      <c r="F6" t="s">
        <v>102</v>
      </c>
      <c r="G6" t="s">
        <v>103</v>
      </c>
    </row>
    <row r="7" spans="1:7" x14ac:dyDescent="0.25">
      <c r="A7" t="s">
        <v>95</v>
      </c>
      <c r="B7" t="s">
        <v>96</v>
      </c>
      <c r="C7">
        <v>1</v>
      </c>
      <c r="D7" t="s">
        <v>97</v>
      </c>
      <c r="E7">
        <v>7.0000000000000007E-2</v>
      </c>
      <c r="F7" t="s">
        <v>98</v>
      </c>
      <c r="G7" t="s">
        <v>22</v>
      </c>
    </row>
    <row r="8" spans="1:7" x14ac:dyDescent="0.25">
      <c r="A8" t="s">
        <v>26</v>
      </c>
      <c r="B8" t="s">
        <v>25</v>
      </c>
      <c r="C8">
        <v>2</v>
      </c>
      <c r="D8" t="s">
        <v>24</v>
      </c>
      <c r="E8">
        <v>0.12</v>
      </c>
      <c r="F8" t="s">
        <v>23</v>
      </c>
      <c r="G8" t="s">
        <v>113</v>
      </c>
    </row>
    <row r="9" spans="1:7" x14ac:dyDescent="0.25">
      <c r="A9" t="s">
        <v>119</v>
      </c>
      <c r="B9" t="s">
        <v>122</v>
      </c>
      <c r="C9">
        <v>9</v>
      </c>
      <c r="D9" t="s">
        <v>120</v>
      </c>
      <c r="E9">
        <v>0.87</v>
      </c>
      <c r="F9" s="2" t="s">
        <v>121</v>
      </c>
      <c r="G9" t="s">
        <v>118</v>
      </c>
    </row>
    <row r="10" spans="1:7" x14ac:dyDescent="0.25">
      <c r="A10" t="s">
        <v>28</v>
      </c>
      <c r="B10" t="s">
        <v>29</v>
      </c>
      <c r="C10">
        <v>1</v>
      </c>
      <c r="D10" t="s">
        <v>27</v>
      </c>
      <c r="E10">
        <v>0.18</v>
      </c>
      <c r="F10" t="s">
        <v>30</v>
      </c>
      <c r="G10" t="s">
        <v>31</v>
      </c>
    </row>
    <row r="11" spans="1:7" x14ac:dyDescent="0.25">
      <c r="A11" t="s">
        <v>87</v>
      </c>
      <c r="B11" t="s">
        <v>86</v>
      </c>
      <c r="C11">
        <v>1</v>
      </c>
      <c r="D11" t="s">
        <v>88</v>
      </c>
      <c r="E11">
        <v>0.06</v>
      </c>
      <c r="F11" t="s">
        <v>89</v>
      </c>
      <c r="G11" t="s">
        <v>32</v>
      </c>
    </row>
    <row r="12" spans="1:7" x14ac:dyDescent="0.25">
      <c r="A12" t="s">
        <v>33</v>
      </c>
      <c r="B12" t="s">
        <v>34</v>
      </c>
      <c r="C12">
        <v>1</v>
      </c>
      <c r="D12" t="s">
        <v>35</v>
      </c>
      <c r="E12">
        <v>0.28999999999999998</v>
      </c>
      <c r="F12" t="s">
        <v>36</v>
      </c>
      <c r="G12" t="s">
        <v>61</v>
      </c>
    </row>
    <row r="13" spans="1:7" x14ac:dyDescent="0.25">
      <c r="A13" t="s">
        <v>81</v>
      </c>
      <c r="B13" t="s">
        <v>83</v>
      </c>
      <c r="C13">
        <v>1</v>
      </c>
      <c r="D13" t="s">
        <v>82</v>
      </c>
      <c r="E13">
        <v>0.01</v>
      </c>
      <c r="F13" t="s">
        <v>84</v>
      </c>
      <c r="G13" t="s">
        <v>85</v>
      </c>
    </row>
    <row r="14" spans="1:7" x14ac:dyDescent="0.25">
      <c r="A14" t="s">
        <v>38</v>
      </c>
      <c r="B14" t="s">
        <v>39</v>
      </c>
      <c r="C14">
        <v>1</v>
      </c>
      <c r="D14" t="s">
        <v>40</v>
      </c>
      <c r="E14">
        <v>0.01</v>
      </c>
      <c r="F14" t="s">
        <v>37</v>
      </c>
      <c r="G14" t="s">
        <v>114</v>
      </c>
    </row>
    <row r="15" spans="1:7" x14ac:dyDescent="0.25">
      <c r="A15" t="s">
        <v>41</v>
      </c>
      <c r="B15" t="s">
        <v>45</v>
      </c>
      <c r="C15" s="1">
        <v>22</v>
      </c>
      <c r="D15" t="s">
        <v>44</v>
      </c>
      <c r="E15">
        <v>0.03</v>
      </c>
      <c r="F15" t="s">
        <v>43</v>
      </c>
      <c r="G15" t="s">
        <v>42</v>
      </c>
    </row>
    <row r="16" spans="1:7" x14ac:dyDescent="0.25">
      <c r="A16" t="s">
        <v>49</v>
      </c>
      <c r="B16" t="s">
        <v>48</v>
      </c>
      <c r="C16">
        <v>4</v>
      </c>
      <c r="D16" t="s">
        <v>50</v>
      </c>
      <c r="E16">
        <v>0.02</v>
      </c>
      <c r="F16" t="s">
        <v>46</v>
      </c>
      <c r="G16" t="s">
        <v>47</v>
      </c>
    </row>
    <row r="17" spans="1:7" x14ac:dyDescent="0.25">
      <c r="A17" t="s">
        <v>94</v>
      </c>
      <c r="B17" t="s">
        <v>93</v>
      </c>
      <c r="C17" s="1">
        <v>2</v>
      </c>
      <c r="D17" t="s">
        <v>92</v>
      </c>
      <c r="E17">
        <v>0.01</v>
      </c>
      <c r="F17" t="s">
        <v>91</v>
      </c>
      <c r="G17" t="s">
        <v>90</v>
      </c>
    </row>
    <row r="18" spans="1:7" x14ac:dyDescent="0.25">
      <c r="A18" t="s">
        <v>49</v>
      </c>
      <c r="B18" t="s">
        <v>52</v>
      </c>
      <c r="C18" s="1">
        <v>6</v>
      </c>
      <c r="D18" t="s">
        <v>54</v>
      </c>
      <c r="E18">
        <v>0.04</v>
      </c>
      <c r="F18" t="s">
        <v>53</v>
      </c>
      <c r="G18" t="s">
        <v>51</v>
      </c>
    </row>
    <row r="19" spans="1:7" x14ac:dyDescent="0.25">
      <c r="A19" t="s">
        <v>55</v>
      </c>
      <c r="B19" t="s">
        <v>58</v>
      </c>
      <c r="C19" s="1">
        <v>4</v>
      </c>
      <c r="D19" t="s">
        <v>57</v>
      </c>
      <c r="E19">
        <v>0.01</v>
      </c>
      <c r="F19" s="2" t="s">
        <v>56</v>
      </c>
      <c r="G19" t="s">
        <v>59</v>
      </c>
    </row>
    <row r="20" spans="1:7" x14ac:dyDescent="0.25">
      <c r="A20" t="s">
        <v>65</v>
      </c>
      <c r="B20" t="s">
        <v>64</v>
      </c>
      <c r="C20" s="1">
        <v>1</v>
      </c>
      <c r="D20" t="s">
        <v>63</v>
      </c>
      <c r="E20">
        <v>0.01</v>
      </c>
      <c r="F20" t="s">
        <v>62</v>
      </c>
      <c r="G20" t="s">
        <v>60</v>
      </c>
    </row>
    <row r="21" spans="1:7" x14ac:dyDescent="0.25">
      <c r="A21" t="s">
        <v>66</v>
      </c>
      <c r="B21" t="s">
        <v>67</v>
      </c>
      <c r="C21" s="1">
        <v>2</v>
      </c>
      <c r="D21" t="s">
        <v>68</v>
      </c>
      <c r="E21">
        <v>0.01</v>
      </c>
      <c r="F21" t="s">
        <v>69</v>
      </c>
      <c r="G21" t="s">
        <v>70</v>
      </c>
    </row>
    <row r="22" spans="1:7" x14ac:dyDescent="0.25">
      <c r="A22" t="s">
        <v>71</v>
      </c>
      <c r="B22" t="s">
        <v>72</v>
      </c>
      <c r="C22" s="1">
        <v>1</v>
      </c>
      <c r="D22" t="s">
        <v>73</v>
      </c>
      <c r="E22">
        <v>0.01</v>
      </c>
      <c r="F22" t="s">
        <v>74</v>
      </c>
      <c r="G22" t="s">
        <v>75</v>
      </c>
    </row>
    <row r="23" spans="1:7" x14ac:dyDescent="0.25">
      <c r="A23" t="s">
        <v>79</v>
      </c>
      <c r="B23" t="s">
        <v>78</v>
      </c>
      <c r="C23" s="1">
        <v>3</v>
      </c>
      <c r="D23" t="s">
        <v>77</v>
      </c>
      <c r="E23">
        <v>0.01</v>
      </c>
      <c r="F23" t="s">
        <v>76</v>
      </c>
      <c r="G23" t="s">
        <v>108</v>
      </c>
    </row>
    <row r="24" spans="1:7" x14ac:dyDescent="0.25">
      <c r="A24" t="s">
        <v>104</v>
      </c>
      <c r="B24" t="s">
        <v>105</v>
      </c>
      <c r="C24" s="1">
        <v>1</v>
      </c>
      <c r="D24" t="s">
        <v>106</v>
      </c>
      <c r="E24">
        <v>0.04</v>
      </c>
      <c r="F24" t="s">
        <v>107</v>
      </c>
      <c r="G24" t="s">
        <v>115</v>
      </c>
    </row>
    <row r="25" spans="1:7" x14ac:dyDescent="0.25">
      <c r="A25" t="s">
        <v>117</v>
      </c>
      <c r="E25">
        <f>SUM(E2:E24)</f>
        <v>5.7399999999999975</v>
      </c>
    </row>
    <row r="27" spans="1:7" x14ac:dyDescent="0.25">
      <c r="A27" t="s">
        <v>123</v>
      </c>
      <c r="B27" t="s">
        <v>124</v>
      </c>
      <c r="C27" s="1">
        <v>5</v>
      </c>
      <c r="E27">
        <v>14.9</v>
      </c>
    </row>
    <row r="28" spans="1:7" x14ac:dyDescent="0.25">
      <c r="A28" t="s">
        <v>125</v>
      </c>
      <c r="B28" t="s">
        <v>126</v>
      </c>
      <c r="C28" s="1">
        <v>2</v>
      </c>
      <c r="E28">
        <v>86.16</v>
      </c>
    </row>
    <row r="29" spans="1:7" x14ac:dyDescent="0.25">
      <c r="A29" t="s">
        <v>130</v>
      </c>
      <c r="E29">
        <v>7.29</v>
      </c>
      <c r="G29" t="s">
        <v>132</v>
      </c>
    </row>
    <row r="30" spans="1:7" x14ac:dyDescent="0.25">
      <c r="A30" t="s">
        <v>129</v>
      </c>
      <c r="E30">
        <f>SUM(E27:E29)</f>
        <v>108.35000000000001</v>
      </c>
    </row>
    <row r="32" spans="1:7" x14ac:dyDescent="0.25">
      <c r="A32" t="s">
        <v>128</v>
      </c>
      <c r="E32">
        <v>9.02</v>
      </c>
    </row>
    <row r="33" spans="1:7" x14ac:dyDescent="0.25">
      <c r="A33" t="s">
        <v>127</v>
      </c>
      <c r="E33">
        <v>0</v>
      </c>
      <c r="G33" t="s">
        <v>131</v>
      </c>
    </row>
    <row r="34" spans="1:7" x14ac:dyDescent="0.25">
      <c r="A34" t="s">
        <v>116</v>
      </c>
      <c r="E34">
        <f>E30+E32+E33</f>
        <v>117.37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</dc:creator>
  <cp:lastModifiedBy>ritam</cp:lastModifiedBy>
  <dcterms:created xsi:type="dcterms:W3CDTF">2026-04-22T15:42:59Z</dcterms:created>
  <dcterms:modified xsi:type="dcterms:W3CDTF">2026-05-02T15:06:34Z</dcterms:modified>
</cp:coreProperties>
</file>